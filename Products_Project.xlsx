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Data Projects\"/>
    </mc:Choice>
  </mc:AlternateContent>
  <xr:revisionPtr revIDLastSave="0" documentId="8_{226389F9-333B-4D4F-B298-FB2A2F3B4F37}" xr6:coauthVersionLast="47" xr6:coauthVersionMax="47" xr10:uidLastSave="{00000000-0000-0000-0000-000000000000}"/>
  <bookViews>
    <workbookView xWindow="4120" yWindow="3530" windowWidth="14400" windowHeight="7270" firstSheet="3" activeTab="5" xr2:uid="{B4F24566-45B6-4D86-AAC4-183237BB72B7}"/>
  </bookViews>
  <sheets>
    <sheet name="Raw Product Data" sheetId="6" r:id="rId1"/>
    <sheet name="Cleaned Product Data" sheetId="1" r:id="rId2"/>
    <sheet name="Category Summary" sheetId="3" r:id="rId3"/>
    <sheet name="Product Prices" sheetId="4" r:id="rId4"/>
    <sheet name="Category Prices" sheetId="5" r:id="rId5"/>
    <sheet name="Product Dashboard" sheetId="2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2" l="1"/>
  <c r="B12" i="2"/>
  <c r="A12" i="2"/>
  <c r="C10" i="2"/>
  <c r="A10" i="2"/>
</calcChain>
</file>

<file path=xl/sharedStrings.xml><?xml version="1.0" encoding="utf-8"?>
<sst xmlns="http://schemas.openxmlformats.org/spreadsheetml/2006/main" count="166" uniqueCount="60">
  <si>
    <t>ProductID</t>
  </si>
  <si>
    <t>ProductName</t>
  </si>
  <si>
    <t>Category</t>
  </si>
  <si>
    <t>UnitPrice</t>
  </si>
  <si>
    <t>Wireless Mouse</t>
  </si>
  <si>
    <t>Electronics</t>
  </si>
  <si>
    <t>Mechanical Keyboard</t>
  </si>
  <si>
    <t>USB-C Cable</t>
  </si>
  <si>
    <t>Accessories</t>
  </si>
  <si>
    <t>Power Bank</t>
  </si>
  <si>
    <t>Laptop Stand</t>
  </si>
  <si>
    <t>Webcam</t>
  </si>
  <si>
    <t>Headphones</t>
  </si>
  <si>
    <t>Phone Case</t>
  </si>
  <si>
    <t>Smart Watch</t>
  </si>
  <si>
    <t>Wearables</t>
  </si>
  <si>
    <t>Fitness Band</t>
  </si>
  <si>
    <t>Desk Lamp</t>
  </si>
  <si>
    <t>Home Office</t>
  </si>
  <si>
    <t>Office Chair</t>
  </si>
  <si>
    <t>Notebook</t>
  </si>
  <si>
    <t>Stationery</t>
  </si>
  <si>
    <t>Backpack</t>
  </si>
  <si>
    <t>Bluetooth Speaker</t>
  </si>
  <si>
    <t>Monitor</t>
  </si>
  <si>
    <t>HDMI Cable</t>
  </si>
  <si>
    <t>Microphone</t>
  </si>
  <si>
    <t>Tablet</t>
  </si>
  <si>
    <t>Gaming Controller</t>
  </si>
  <si>
    <t>Gaming</t>
  </si>
  <si>
    <t>Sum of UnitPrice</t>
  </si>
  <si>
    <t>Average of UnitPrice</t>
  </si>
  <si>
    <t>Row Labels</t>
  </si>
  <si>
    <t>Grand Total</t>
  </si>
  <si>
    <t>Count of ProductID</t>
  </si>
  <si>
    <t>PRODUCT ANALYSIS DASHBOARD</t>
  </si>
  <si>
    <t>Total Products</t>
  </si>
  <si>
    <t>Average Unit price</t>
  </si>
  <si>
    <t>N61.4</t>
  </si>
  <si>
    <t>Highest Unit Price</t>
  </si>
  <si>
    <t>N260</t>
  </si>
  <si>
    <t>Lowest Unit Price</t>
  </si>
  <si>
    <t>N7</t>
  </si>
  <si>
    <t>Product Count</t>
  </si>
  <si>
    <t>Average Unit Price</t>
  </si>
  <si>
    <t>Total Unit Price</t>
  </si>
  <si>
    <t>Number of Categories</t>
  </si>
  <si>
    <t>Most Expensive Product</t>
  </si>
  <si>
    <t>Cheapest Product</t>
  </si>
  <si>
    <t>Most Expensive Price</t>
  </si>
  <si>
    <t>Cheapest Price</t>
  </si>
  <si>
    <t>Electronics has the highest number of products, with 9 products.</t>
  </si>
  <si>
    <t>Home Office has the highest average unit price at ₦106.00.</t>
  </si>
  <si>
    <t>Accessories has the lowest average unit price among categories with multiple products, at ₦20.80.</t>
  </si>
  <si>
    <t>The Tablet is the most expensive product at ₦260.</t>
  </si>
  <si>
    <t>Category Summary</t>
  </si>
  <si>
    <t>CATEGORY SUMMARY</t>
  </si>
  <si>
    <t>PRODUCT PRICES</t>
  </si>
  <si>
    <t>CATEGORY PRICES</t>
  </si>
  <si>
    <t>KEY FINDINGS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</si>
</sst>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18" fillId="0" borderId="10" xfId="0" applyFont="1" applyBorder="1"/>
    <xf numFmtId="0" fontId="0" fillId="0" borderId="10" xfId="0" applyBorder="1"/>
    <xf numFmtId="0" fontId="16" fillId="0" borderId="10" xfId="0" applyFont="1" applyBorder="1"/>
    <xf numFmtId="0" fontId="16" fillId="0" borderId="0" xfId="0" applyFont="1"/>
    <xf numFmtId="0" fontId="20" fillId="0" borderId="10" xfId="0" applyFont="1" applyBorder="1"/>
    <xf numFmtId="0" fontId="20" fillId="0" borderId="11" xfId="0" applyFont="1" applyBorder="1"/>
    <xf numFmtId="0" fontId="20" fillId="0" borderId="0" xfId="0" applyFont="1"/>
    <xf numFmtId="0" fontId="18" fillId="0" borderId="0" xfId="0" applyFont="1"/>
    <xf numFmtId="2" fontId="16" fillId="0" borderId="0" xfId="0" applyNumberFormat="1" applyFont="1"/>
    <xf numFmtId="2" fontId="0" fillId="0" borderId="0" xfId="0" applyNumberFormat="1"/>
    <xf numFmtId="0" fontId="16" fillId="0" borderId="0" xfId="0" pivotButton="1" applyFont="1"/>
    <xf numFmtId="0" fontId="19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2" formatCode="0.00"/>
    </dxf>
    <dxf>
      <numFmt numFmtId="2" formatCode="0.00"/>
    </dxf>
    <dxf>
      <font>
        <b/>
      </font>
    </dxf>
    <dxf>
      <font>
        <b/>
      </font>
    </dxf>
    <dxf>
      <numFmt numFmtId="2" formatCode="0.00"/>
    </dxf>
    <dxf>
      <numFmt numFmtId="2" formatCode="0.00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2" formatCode="0.00"/>
    </dxf>
    <dxf>
      <numFmt numFmtId="2" formatCode="0.00"/>
    </dxf>
    <dxf>
      <font>
        <b/>
      </font>
    </dxf>
    <dxf>
      <numFmt numFmtId="2" formatCode="0.00"/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by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Dashboard'!$B$15</c:f>
              <c:strCache>
                <c:ptCount val="1"/>
                <c:pt idx="0">
                  <c:v>Product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Dashboard'!$A$16:$A$21</c:f>
              <c:strCache>
                <c:ptCount val="6"/>
                <c:pt idx="0">
                  <c:v>Accessories</c:v>
                </c:pt>
                <c:pt idx="1">
                  <c:v>Electronics</c:v>
                </c:pt>
                <c:pt idx="2">
                  <c:v>Gaming</c:v>
                </c:pt>
                <c:pt idx="3">
                  <c:v>Home Office</c:v>
                </c:pt>
                <c:pt idx="4">
                  <c:v>Stationery</c:v>
                </c:pt>
                <c:pt idx="5">
                  <c:v>Wearables</c:v>
                </c:pt>
              </c:strCache>
            </c:strRef>
          </c:cat>
          <c:val>
            <c:numRef>
              <c:f>'Product Dashboard'!$B$16:$B$21</c:f>
              <c:numCache>
                <c:formatCode>General</c:formatCode>
                <c:ptCount val="6"/>
                <c:pt idx="0">
                  <c:v>5</c:v>
                </c:pt>
                <c:pt idx="1">
                  <c:v>9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6-4E1E-A59E-007C2989ED8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'Cleaned Product Data'!$A$2:$C$21</c:f>
              <c:multiLvlStrCache>
                <c:ptCount val="20"/>
                <c:lvl>
                  <c:pt idx="0">
                    <c:v>Stationery</c:v>
                  </c:pt>
                  <c:pt idx="1">
                    <c:v>Accessories</c:v>
                  </c:pt>
                  <c:pt idx="2">
                    <c:v>Accessories</c:v>
                  </c:pt>
                  <c:pt idx="3">
                    <c:v>Accessories</c:v>
                  </c:pt>
                  <c:pt idx="4">
                    <c:v>Electronics</c:v>
                  </c:pt>
                  <c:pt idx="5">
                    <c:v>Electronics</c:v>
                  </c:pt>
                  <c:pt idx="6">
                    <c:v>Accessories</c:v>
                  </c:pt>
                  <c:pt idx="7">
                    <c:v>Home Office</c:v>
                  </c:pt>
                  <c:pt idx="8">
                    <c:v>Electronics</c:v>
                  </c:pt>
                  <c:pt idx="9">
                    <c:v>Accessories</c:v>
                  </c:pt>
                  <c:pt idx="10">
                    <c:v>Electronics</c:v>
                  </c:pt>
                  <c:pt idx="11">
                    <c:v>Wearables</c:v>
                  </c:pt>
                  <c:pt idx="12">
                    <c:v>Electronics</c:v>
                  </c:pt>
                  <c:pt idx="13">
                    <c:v>Electronics</c:v>
                  </c:pt>
                  <c:pt idx="14">
                    <c:v>Gaming</c:v>
                  </c:pt>
                  <c:pt idx="15">
                    <c:v>Electronics</c:v>
                  </c:pt>
                  <c:pt idx="16">
                    <c:v>Electronics</c:v>
                  </c:pt>
                  <c:pt idx="17">
                    <c:v>Wearables</c:v>
                  </c:pt>
                  <c:pt idx="18">
                    <c:v>Home Office</c:v>
                  </c:pt>
                  <c:pt idx="19">
                    <c:v>Electronics</c:v>
                  </c:pt>
                </c:lvl>
                <c:lvl>
                  <c:pt idx="0">
                    <c:v>Notebook</c:v>
                  </c:pt>
                  <c:pt idx="1">
                    <c:v>USB-C Cable</c:v>
                  </c:pt>
                  <c:pt idx="2">
                    <c:v>HDMI Cable</c:v>
                  </c:pt>
                  <c:pt idx="3">
                    <c:v>Phone Case</c:v>
                  </c:pt>
                  <c:pt idx="4">
                    <c:v>Wireless Mouse</c:v>
                  </c:pt>
                  <c:pt idx="5">
                    <c:v>Monitor</c:v>
                  </c:pt>
                  <c:pt idx="6">
                    <c:v>Laptop Stand</c:v>
                  </c:pt>
                  <c:pt idx="7">
                    <c:v>Desk Lamp</c:v>
                  </c:pt>
                  <c:pt idx="8">
                    <c:v>Power Bank</c:v>
                  </c:pt>
                  <c:pt idx="9">
                    <c:v>Backpack</c:v>
                  </c:pt>
                  <c:pt idx="10">
                    <c:v>Webcam</c:v>
                  </c:pt>
                  <c:pt idx="11">
                    <c:v>Fitness Band</c:v>
                  </c:pt>
                  <c:pt idx="12">
                    <c:v>Bluetooth Speaker</c:v>
                  </c:pt>
                  <c:pt idx="13">
                    <c:v>Mechanical Keyboard</c:v>
                  </c:pt>
                  <c:pt idx="14">
                    <c:v>Gaming Controller</c:v>
                  </c:pt>
                  <c:pt idx="15">
                    <c:v>Headphones</c:v>
                  </c:pt>
                  <c:pt idx="16">
                    <c:v>Microphone</c:v>
                  </c:pt>
                  <c:pt idx="17">
                    <c:v>Smart Watch</c:v>
                  </c:pt>
                  <c:pt idx="18">
                    <c:v>Office Chair</c:v>
                  </c:pt>
                  <c:pt idx="19">
                    <c:v>Tablet</c:v>
                  </c:pt>
                </c:lvl>
                <c:lvl>
                  <c:pt idx="0">
                    <c:v>2013</c:v>
                  </c:pt>
                  <c:pt idx="1">
                    <c:v>2003</c:v>
                  </c:pt>
                  <c:pt idx="2">
                    <c:v>2017</c:v>
                  </c:pt>
                  <c:pt idx="3">
                    <c:v>2008</c:v>
                  </c:pt>
                  <c:pt idx="4">
                    <c:v>2001</c:v>
                  </c:pt>
                  <c:pt idx="5">
                    <c:v>2016</c:v>
                  </c:pt>
                  <c:pt idx="6">
                    <c:v>2005</c:v>
                  </c:pt>
                  <c:pt idx="7">
                    <c:v>2011</c:v>
                  </c:pt>
                  <c:pt idx="8">
                    <c:v>2004</c:v>
                  </c:pt>
                  <c:pt idx="9">
                    <c:v>2014</c:v>
                  </c:pt>
                  <c:pt idx="10">
                    <c:v>2006</c:v>
                  </c:pt>
                  <c:pt idx="11">
                    <c:v>2010</c:v>
                  </c:pt>
                  <c:pt idx="12">
                    <c:v>2015</c:v>
                  </c:pt>
                  <c:pt idx="13">
                    <c:v>2002</c:v>
                  </c:pt>
                  <c:pt idx="14">
                    <c:v>2020</c:v>
                  </c:pt>
                  <c:pt idx="15">
                    <c:v>2007</c:v>
                  </c:pt>
                  <c:pt idx="16">
                    <c:v>2018</c:v>
                  </c:pt>
                  <c:pt idx="17">
                    <c:v>2009</c:v>
                  </c:pt>
                  <c:pt idx="18">
                    <c:v>2012</c:v>
                  </c:pt>
                  <c:pt idx="19">
                    <c:v>2019</c:v>
                  </c:pt>
                </c:lvl>
              </c:multiLvlStrCache>
            </c:multiLvlStrRef>
          </c:cat>
          <c:val>
            <c:numRef>
              <c:f>'Cleaned Product Data'!$D$2:$D$21</c:f>
              <c:numCache>
                <c:formatCode>0.00</c:formatCode>
                <c:ptCount val="20"/>
                <c:pt idx="0">
                  <c:v>7</c:v>
                </c:pt>
                <c:pt idx="1">
                  <c:v>9</c:v>
                </c:pt>
                <c:pt idx="2">
                  <c:v>11</c:v>
                </c:pt>
                <c:pt idx="3">
                  <c:v>14</c:v>
                </c:pt>
                <c:pt idx="4">
                  <c:v>18</c:v>
                </c:pt>
                <c:pt idx="5">
                  <c:v>21</c:v>
                </c:pt>
                <c:pt idx="6">
                  <c:v>28</c:v>
                </c:pt>
                <c:pt idx="7">
                  <c:v>32</c:v>
                </c:pt>
                <c:pt idx="8">
                  <c:v>35</c:v>
                </c:pt>
                <c:pt idx="9">
                  <c:v>42</c:v>
                </c:pt>
                <c:pt idx="10">
                  <c:v>48</c:v>
                </c:pt>
                <c:pt idx="11">
                  <c:v>55</c:v>
                </c:pt>
                <c:pt idx="12">
                  <c:v>58</c:v>
                </c:pt>
                <c:pt idx="13">
                  <c:v>62</c:v>
                </c:pt>
                <c:pt idx="14">
                  <c:v>68</c:v>
                </c:pt>
                <c:pt idx="15">
                  <c:v>75</c:v>
                </c:pt>
                <c:pt idx="16">
                  <c:v>85</c:v>
                </c:pt>
                <c:pt idx="17">
                  <c:v>120</c:v>
                </c:pt>
                <c:pt idx="18">
                  <c:v>180</c:v>
                </c:pt>
                <c:pt idx="19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60-4926-A220-7AA1A25F6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3357824"/>
        <c:axId val="1555654175"/>
      </c:barChart>
      <c:catAx>
        <c:axId val="32335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654175"/>
        <c:crosses val="autoZero"/>
        <c:auto val="1"/>
        <c:lblAlgn val="ctr"/>
        <c:lblOffset val="100"/>
        <c:noMultiLvlLbl val="0"/>
      </c:catAx>
      <c:valAx>
        <c:axId val="155565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35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Unit Price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Dashboard'!$A$16:$A$21</c:f>
              <c:strCache>
                <c:ptCount val="6"/>
                <c:pt idx="0">
                  <c:v>Accessories</c:v>
                </c:pt>
                <c:pt idx="1">
                  <c:v>Electronics</c:v>
                </c:pt>
                <c:pt idx="2">
                  <c:v>Gaming</c:v>
                </c:pt>
                <c:pt idx="3">
                  <c:v>Home Office</c:v>
                </c:pt>
                <c:pt idx="4">
                  <c:v>Stationery</c:v>
                </c:pt>
                <c:pt idx="5">
                  <c:v>Wearables</c:v>
                </c:pt>
              </c:strCache>
            </c:strRef>
          </c:cat>
          <c:val>
            <c:numRef>
              <c:f>'Product Dashboard'!$D$16:$D$21</c:f>
              <c:numCache>
                <c:formatCode>General</c:formatCode>
                <c:ptCount val="6"/>
                <c:pt idx="0">
                  <c:v>104</c:v>
                </c:pt>
                <c:pt idx="1">
                  <c:v>662</c:v>
                </c:pt>
                <c:pt idx="2">
                  <c:v>68</c:v>
                </c:pt>
                <c:pt idx="3">
                  <c:v>212</c:v>
                </c:pt>
                <c:pt idx="4">
                  <c:v>7</c:v>
                </c:pt>
                <c:pt idx="5">
                  <c:v>175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096-4E0A-9A3F-2992E2BA2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5010672"/>
        <c:axId val="1555661375"/>
      </c:barChart>
      <c:catAx>
        <c:axId val="32501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661375"/>
        <c:crosses val="autoZero"/>
        <c:auto val="1"/>
        <c:lblAlgn val="ctr"/>
        <c:lblOffset val="100"/>
        <c:noMultiLvlLbl val="0"/>
      </c:catAx>
      <c:valAx>
        <c:axId val="155566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01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41</xdr:row>
      <xdr:rowOff>28077</xdr:rowOff>
    </xdr:from>
    <xdr:to>
      <xdr:col>7</xdr:col>
      <xdr:colOff>304800</xdr:colOff>
      <xdr:row>56</xdr:row>
      <xdr:rowOff>6413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533493-8B6F-1A0E-EAA9-FF5AC9D10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50</xdr:row>
      <xdr:rowOff>71656</xdr:rowOff>
    </xdr:from>
    <xdr:to>
      <xdr:col>7</xdr:col>
      <xdr:colOff>304801</xdr:colOff>
      <xdr:row>65</xdr:row>
      <xdr:rowOff>49991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B1936D7-8907-76B2-F74B-257DC05019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6272.915341666667" createdVersion="8" refreshedVersion="8" minRefreshableVersion="3" recordCount="20" xr:uid="{406C5367-CBEF-4283-86D2-3A626CD300D5}">
  <cacheSource type="worksheet">
    <worksheetSource name="Table1"/>
  </cacheSource>
  <cacheFields count="4">
    <cacheField name="ProductID" numFmtId="0">
      <sharedItems containsSemiMixedTypes="0" containsString="0" containsNumber="1" containsInteger="1" minValue="2001" maxValue="2020"/>
    </cacheField>
    <cacheField name="ProductName" numFmtId="0">
      <sharedItems count="20">
        <s v="Wireless Mouse"/>
        <s v="Mechanical Keyboard"/>
        <s v="USB-C Cable"/>
        <s v="Power Bank"/>
        <s v="Laptop Stand"/>
        <s v="Webcam"/>
        <s v="Headphones"/>
        <s v="Phone Case"/>
        <s v="Smart Watch"/>
        <s v="Fitness Band"/>
        <s v="Desk Lamp"/>
        <s v="Office Chair"/>
        <s v="Notebook"/>
        <s v="Backpack"/>
        <s v="Bluetooth Speaker"/>
        <s v="Monitor"/>
        <s v="HDMI Cable"/>
        <s v="Microphone"/>
        <s v="Tablet"/>
        <s v="Gaming Controller"/>
      </sharedItems>
    </cacheField>
    <cacheField name="Category" numFmtId="0">
      <sharedItems count="6">
        <s v="Electronics"/>
        <s v="Accessories"/>
        <s v="Wearables"/>
        <s v="Home Office"/>
        <s v="Stationery"/>
        <s v="Gaming"/>
      </sharedItems>
    </cacheField>
    <cacheField name="UnitPrice" numFmtId="0">
      <sharedItems containsSemiMixedTypes="0" containsString="0" containsNumber="1" containsInteger="1" minValue="7" maxValue="2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01"/>
    <x v="0"/>
    <x v="0"/>
    <n v="18"/>
  </r>
  <r>
    <n v="2002"/>
    <x v="1"/>
    <x v="0"/>
    <n v="62"/>
  </r>
  <r>
    <n v="2003"/>
    <x v="2"/>
    <x v="1"/>
    <n v="9"/>
  </r>
  <r>
    <n v="2004"/>
    <x v="3"/>
    <x v="0"/>
    <n v="35"/>
  </r>
  <r>
    <n v="2005"/>
    <x v="4"/>
    <x v="1"/>
    <n v="28"/>
  </r>
  <r>
    <n v="2006"/>
    <x v="5"/>
    <x v="0"/>
    <n v="48"/>
  </r>
  <r>
    <n v="2007"/>
    <x v="6"/>
    <x v="0"/>
    <n v="75"/>
  </r>
  <r>
    <n v="2008"/>
    <x v="7"/>
    <x v="1"/>
    <n v="14"/>
  </r>
  <r>
    <n v="2009"/>
    <x v="8"/>
    <x v="2"/>
    <n v="120"/>
  </r>
  <r>
    <n v="2010"/>
    <x v="9"/>
    <x v="2"/>
    <n v="55"/>
  </r>
  <r>
    <n v="2011"/>
    <x v="10"/>
    <x v="3"/>
    <n v="32"/>
  </r>
  <r>
    <n v="2012"/>
    <x v="11"/>
    <x v="3"/>
    <n v="180"/>
  </r>
  <r>
    <n v="2013"/>
    <x v="12"/>
    <x v="4"/>
    <n v="7"/>
  </r>
  <r>
    <n v="2014"/>
    <x v="13"/>
    <x v="1"/>
    <n v="42"/>
  </r>
  <r>
    <n v="2015"/>
    <x v="14"/>
    <x v="0"/>
    <n v="58"/>
  </r>
  <r>
    <n v="2016"/>
    <x v="15"/>
    <x v="0"/>
    <n v="21"/>
  </r>
  <r>
    <n v="2017"/>
    <x v="16"/>
    <x v="1"/>
    <n v="11"/>
  </r>
  <r>
    <n v="2018"/>
    <x v="17"/>
    <x v="0"/>
    <n v="85"/>
  </r>
  <r>
    <n v="2019"/>
    <x v="18"/>
    <x v="0"/>
    <n v="260"/>
  </r>
  <r>
    <n v="2020"/>
    <x v="19"/>
    <x v="5"/>
    <n v="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DB335D-74E0-49A0-B988-73E701A42B1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4">
    <pivotField dataField="1" showAll="0"/>
    <pivotField showAll="0">
      <items count="21">
        <item x="13"/>
        <item x="14"/>
        <item x="10"/>
        <item x="9"/>
        <item x="19"/>
        <item x="16"/>
        <item x="6"/>
        <item x="4"/>
        <item x="1"/>
        <item x="17"/>
        <item x="15"/>
        <item x="12"/>
        <item x="11"/>
        <item x="7"/>
        <item x="3"/>
        <item x="8"/>
        <item x="18"/>
        <item x="2"/>
        <item x="5"/>
        <item x="0"/>
        <item t="default"/>
      </items>
    </pivotField>
    <pivotField axis="axisRow" showAll="0">
      <items count="7">
        <item x="1"/>
        <item x="0"/>
        <item x="5"/>
        <item x="3"/>
        <item x="4"/>
        <item x="2"/>
        <item t="default"/>
      </items>
    </pivotField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ductID" fld="0" subtotal="count" baseField="2" baseItem="0"/>
    <dataField name="Average of UnitPrice" fld="3" subtotal="average" baseField="0" baseItem="0"/>
  </dataFields>
  <formats count="3">
    <format dxfId="10">
      <pivotArea dataOnly="0" outline="0" fieldPosition="0">
        <references count="1">
          <reference field="4294967294" count="1">
            <x v="1"/>
          </reference>
        </references>
      </pivotArea>
    </format>
    <format dxfId="9">
      <pivotArea field="2" type="button" dataOnly="0" labelOnly="1" outline="0" axis="axisRow" fieldPosition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ED6F79-50EA-4760-BB14-324AAF4B3F5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4">
    <pivotField showAll="0"/>
    <pivotField axis="axisRow" showAll="0" sortType="descending">
      <items count="21">
        <item x="13"/>
        <item x="14"/>
        <item x="10"/>
        <item x="9"/>
        <item x="19"/>
        <item x="16"/>
        <item x="6"/>
        <item x="4"/>
        <item x="1"/>
        <item x="17"/>
        <item x="15"/>
        <item x="12"/>
        <item x="11"/>
        <item x="7"/>
        <item x="3"/>
        <item x="8"/>
        <item x="18"/>
        <item x="2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1"/>
  </rowFields>
  <rowItems count="21">
    <i>
      <x v="16"/>
    </i>
    <i>
      <x v="12"/>
    </i>
    <i>
      <x v="15"/>
    </i>
    <i>
      <x v="9"/>
    </i>
    <i>
      <x v="6"/>
    </i>
    <i>
      <x v="4"/>
    </i>
    <i>
      <x v="8"/>
    </i>
    <i>
      <x v="1"/>
    </i>
    <i>
      <x v="3"/>
    </i>
    <i>
      <x v="18"/>
    </i>
    <i>
      <x/>
    </i>
    <i>
      <x v="14"/>
    </i>
    <i>
      <x v="2"/>
    </i>
    <i>
      <x v="7"/>
    </i>
    <i>
      <x v="10"/>
    </i>
    <i>
      <x v="19"/>
    </i>
    <i>
      <x v="13"/>
    </i>
    <i>
      <x v="5"/>
    </i>
    <i>
      <x v="17"/>
    </i>
    <i>
      <x v="11"/>
    </i>
    <i t="grand">
      <x/>
    </i>
  </rowItems>
  <colItems count="1">
    <i/>
  </colItems>
  <dataFields count="1">
    <dataField name="Sum of UnitPrice" fld="3" baseField="0" baseItem="0" numFmtId="2"/>
  </dataFields>
  <formats count="4">
    <format dxfId="7">
      <pivotArea field="1" type="button" dataOnly="0" labelOnly="1" outline="0" axis="axisRow" fieldPosition="0"/>
    </format>
    <format dxfId="6">
      <pivotArea dataOnly="0" labelOnly="1" outline="0" axis="axisValues" fieldPosition="0"/>
    </format>
    <format dxfId="5">
      <pivotArea outline="0" collapsedLevelsAreSubtotals="1" fieldPosition="0"/>
    </format>
    <format dxfId="4">
      <pivotArea dataOnly="0" labelOnly="1" outline="0" axis="axisValues" fieldPosition="0"/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1FB17A-610C-4164-A6A8-9C668708F06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4">
    <pivotField showAll="0"/>
    <pivotField showAll="0"/>
    <pivotField axis="axisRow" showAll="0">
      <items count="7">
        <item x="1"/>
        <item x="0"/>
        <item x="5"/>
        <item x="3"/>
        <item x="4"/>
        <item x="2"/>
        <item t="default"/>
      </items>
    </pivotField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Price" fld="3" baseField="0" baseItem="0" numFmtId="2"/>
  </dataFields>
  <formats count="4">
    <format dxfId="3">
      <pivotArea field="2" type="button" dataOnly="0" labelOnly="1" outline="0" axis="axisRow" fieldPosition="0"/>
    </format>
    <format dxfId="2">
      <pivotArea dataOnly="0" labelOnly="1" outline="0" axis="axisValues" fieldPosition="0"/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E6DA50-0B73-4ED7-A577-F0E83E233A32}" name="Table2" displayName="Table2" ref="A1:D21" totalsRowShown="0" headerRowDxfId="14">
  <autoFilter ref="A1:D21" xr:uid="{05E6DA50-0B73-4ED7-A577-F0E83E233A32}"/>
  <tableColumns count="4">
    <tableColumn id="1" xr3:uid="{1A801B0D-6C5B-49C2-99C4-09D2657EFF39}" name="ProductID"/>
    <tableColumn id="2" xr3:uid="{C9D74842-2701-4D5A-ABEC-0EA4F492CD4D}" name="ProductName"/>
    <tableColumn id="3" xr3:uid="{135CD9C9-D39A-4AF1-BD91-63E2304D4E54}" name="Category"/>
    <tableColumn id="4" xr3:uid="{C2BF26D0-E89C-467C-8E84-47313F0D6645}" name="UnitPrice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9111ED-BC85-422C-A8A0-C6FDA6EB4D08}" name="Table1" displayName="Table1" ref="A1:D21" totalsRowShown="0" headerRowDxfId="12">
  <autoFilter ref="A1:D21" xr:uid="{3C9111ED-BC85-422C-A8A0-C6FDA6EB4D08}"/>
  <sortState xmlns:xlrd2="http://schemas.microsoft.com/office/spreadsheetml/2017/richdata2" ref="A2:D21">
    <sortCondition ref="D1:D21"/>
  </sortState>
  <tableColumns count="4">
    <tableColumn id="1" xr3:uid="{A7986551-1CA4-4609-8E4A-F355FE3CA1B6}" name="ProductID"/>
    <tableColumn id="2" xr3:uid="{5243FE8C-6096-448A-9CC4-49F7E0AD28D9}" name="ProductName"/>
    <tableColumn id="3" xr3:uid="{F7F6078D-D099-42FD-B82D-2AC6F5515E20}" name="Category"/>
    <tableColumn id="4" xr3:uid="{C1469DE5-AC4F-489B-8C25-84A44EE6AE3A}" name="UnitPrice" dataDxfId="1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7E578F-7044-4E76-872B-51799CAE82FB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801zKsSoUj6BcbuluYNlM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E1765-721E-4CF8-AF84-EFDAFA7EBF52}">
  <dimension ref="A1:D21"/>
  <sheetViews>
    <sheetView workbookViewId="0">
      <selection activeCell="B3" sqref="B3"/>
    </sheetView>
  </sheetViews>
  <sheetFormatPr defaultRowHeight="14.5" x14ac:dyDescent="0.35"/>
  <cols>
    <col min="1" max="1" width="11.54296875" bestFit="1" customWidth="1"/>
    <col min="2" max="2" width="18.81640625" bestFit="1" customWidth="1"/>
    <col min="3" max="3" width="10.54296875" bestFit="1" customWidth="1"/>
    <col min="4" max="4" width="10.7265625" bestFit="1" customWidth="1"/>
  </cols>
  <sheetData>
    <row r="1" spans="1:4" x14ac:dyDescent="0.35">
      <c r="A1" s="5" t="s">
        <v>0</v>
      </c>
      <c r="B1" s="5" t="s">
        <v>1</v>
      </c>
      <c r="C1" s="5" t="s">
        <v>2</v>
      </c>
      <c r="D1" s="10" t="s">
        <v>3</v>
      </c>
    </row>
    <row r="2" spans="1:4" x14ac:dyDescent="0.35">
      <c r="A2">
        <v>2001</v>
      </c>
      <c r="B2" t="s">
        <v>4</v>
      </c>
      <c r="C2" t="s">
        <v>5</v>
      </c>
      <c r="D2" s="11">
        <v>18</v>
      </c>
    </row>
    <row r="3" spans="1:4" x14ac:dyDescent="0.35">
      <c r="A3">
        <v>2002</v>
      </c>
      <c r="B3" t="s">
        <v>6</v>
      </c>
      <c r="C3" t="s">
        <v>5</v>
      </c>
      <c r="D3" s="11">
        <v>62</v>
      </c>
    </row>
    <row r="4" spans="1:4" x14ac:dyDescent="0.35">
      <c r="A4">
        <v>2003</v>
      </c>
      <c r="B4" t="s">
        <v>7</v>
      </c>
      <c r="C4" t="s">
        <v>8</v>
      </c>
      <c r="D4" s="11">
        <v>9</v>
      </c>
    </row>
    <row r="5" spans="1:4" x14ac:dyDescent="0.35">
      <c r="A5">
        <v>2004</v>
      </c>
      <c r="B5" t="s">
        <v>9</v>
      </c>
      <c r="C5" t="s">
        <v>5</v>
      </c>
      <c r="D5" s="11">
        <v>35</v>
      </c>
    </row>
    <row r="6" spans="1:4" x14ac:dyDescent="0.35">
      <c r="A6">
        <v>2005</v>
      </c>
      <c r="B6" t="s">
        <v>10</v>
      </c>
      <c r="C6" t="s">
        <v>8</v>
      </c>
      <c r="D6" s="11">
        <v>28</v>
      </c>
    </row>
    <row r="7" spans="1:4" x14ac:dyDescent="0.35">
      <c r="A7">
        <v>2006</v>
      </c>
      <c r="B7" t="s">
        <v>11</v>
      </c>
      <c r="C7" t="s">
        <v>5</v>
      </c>
      <c r="D7" s="11">
        <v>48</v>
      </c>
    </row>
    <row r="8" spans="1:4" x14ac:dyDescent="0.35">
      <c r="A8">
        <v>2007</v>
      </c>
      <c r="B8" t="s">
        <v>12</v>
      </c>
      <c r="C8" t="s">
        <v>5</v>
      </c>
      <c r="D8" s="11">
        <v>75</v>
      </c>
    </row>
    <row r="9" spans="1:4" x14ac:dyDescent="0.35">
      <c r="A9">
        <v>2008</v>
      </c>
      <c r="B9" t="s">
        <v>13</v>
      </c>
      <c r="C9" t="s">
        <v>8</v>
      </c>
      <c r="D9" s="11">
        <v>14</v>
      </c>
    </row>
    <row r="10" spans="1:4" x14ac:dyDescent="0.35">
      <c r="A10">
        <v>2009</v>
      </c>
      <c r="B10" t="s">
        <v>14</v>
      </c>
      <c r="C10" t="s">
        <v>15</v>
      </c>
      <c r="D10" s="11">
        <v>120</v>
      </c>
    </row>
    <row r="11" spans="1:4" x14ac:dyDescent="0.35">
      <c r="A11">
        <v>2010</v>
      </c>
      <c r="B11" t="s">
        <v>16</v>
      </c>
      <c r="C11" t="s">
        <v>15</v>
      </c>
      <c r="D11" s="11">
        <v>55</v>
      </c>
    </row>
    <row r="12" spans="1:4" x14ac:dyDescent="0.35">
      <c r="A12">
        <v>2011</v>
      </c>
      <c r="B12" t="s">
        <v>17</v>
      </c>
      <c r="C12" t="s">
        <v>18</v>
      </c>
      <c r="D12" s="11">
        <v>32</v>
      </c>
    </row>
    <row r="13" spans="1:4" x14ac:dyDescent="0.35">
      <c r="A13">
        <v>2012</v>
      </c>
      <c r="B13" t="s">
        <v>19</v>
      </c>
      <c r="C13" t="s">
        <v>18</v>
      </c>
      <c r="D13" s="11">
        <v>180</v>
      </c>
    </row>
    <row r="14" spans="1:4" x14ac:dyDescent="0.35">
      <c r="A14">
        <v>2013</v>
      </c>
      <c r="B14" t="s">
        <v>20</v>
      </c>
      <c r="C14" t="s">
        <v>21</v>
      </c>
      <c r="D14" s="11">
        <v>7</v>
      </c>
    </row>
    <row r="15" spans="1:4" x14ac:dyDescent="0.35">
      <c r="A15">
        <v>2014</v>
      </c>
      <c r="B15" t="s">
        <v>22</v>
      </c>
      <c r="C15" t="s">
        <v>8</v>
      </c>
      <c r="D15" s="11">
        <v>42</v>
      </c>
    </row>
    <row r="16" spans="1:4" x14ac:dyDescent="0.35">
      <c r="A16">
        <v>2015</v>
      </c>
      <c r="B16" t="s">
        <v>23</v>
      </c>
      <c r="C16" t="s">
        <v>5</v>
      </c>
      <c r="D16" s="11">
        <v>58</v>
      </c>
    </row>
    <row r="17" spans="1:4" x14ac:dyDescent="0.35">
      <c r="A17">
        <v>2016</v>
      </c>
      <c r="B17" t="s">
        <v>24</v>
      </c>
      <c r="C17" t="s">
        <v>5</v>
      </c>
      <c r="D17" s="11">
        <v>21</v>
      </c>
    </row>
    <row r="18" spans="1:4" x14ac:dyDescent="0.35">
      <c r="A18">
        <v>2017</v>
      </c>
      <c r="B18" t="s">
        <v>25</v>
      </c>
      <c r="C18" t="s">
        <v>8</v>
      </c>
      <c r="D18" s="11">
        <v>11</v>
      </c>
    </row>
    <row r="19" spans="1:4" x14ac:dyDescent="0.35">
      <c r="A19">
        <v>2018</v>
      </c>
      <c r="B19" t="s">
        <v>26</v>
      </c>
      <c r="C19" t="s">
        <v>5</v>
      </c>
      <c r="D19" s="11">
        <v>85</v>
      </c>
    </row>
    <row r="20" spans="1:4" x14ac:dyDescent="0.35">
      <c r="A20">
        <v>2019</v>
      </c>
      <c r="B20" t="s">
        <v>27</v>
      </c>
      <c r="C20" t="s">
        <v>5</v>
      </c>
      <c r="D20" s="11">
        <v>260</v>
      </c>
    </row>
    <row r="21" spans="1:4" x14ac:dyDescent="0.35">
      <c r="A21">
        <v>2020</v>
      </c>
      <c r="B21" t="s">
        <v>28</v>
      </c>
      <c r="C21" t="s">
        <v>29</v>
      </c>
      <c r="D21" s="11">
        <v>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BD4BE-0390-4103-8B21-3ACF4C177EC9}">
  <dimension ref="A1:D21"/>
  <sheetViews>
    <sheetView workbookViewId="0">
      <selection activeCell="G6" sqref="G6"/>
    </sheetView>
  </sheetViews>
  <sheetFormatPr defaultRowHeight="14.5" x14ac:dyDescent="0.35"/>
  <cols>
    <col min="1" max="1" width="11.26953125" customWidth="1"/>
    <col min="2" max="2" width="24.26953125" customWidth="1"/>
    <col min="3" max="3" width="16.08984375" customWidth="1"/>
    <col min="4" max="4" width="10.453125" customWidth="1"/>
  </cols>
  <sheetData>
    <row r="1" spans="1:4" x14ac:dyDescent="0.3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35">
      <c r="A2">
        <v>2013</v>
      </c>
      <c r="B2" t="s">
        <v>20</v>
      </c>
      <c r="C2" t="s">
        <v>21</v>
      </c>
      <c r="D2" s="11">
        <v>7</v>
      </c>
    </row>
    <row r="3" spans="1:4" x14ac:dyDescent="0.35">
      <c r="A3">
        <v>2003</v>
      </c>
      <c r="B3" t="s">
        <v>7</v>
      </c>
      <c r="C3" t="s">
        <v>8</v>
      </c>
      <c r="D3" s="11">
        <v>9</v>
      </c>
    </row>
    <row r="4" spans="1:4" x14ac:dyDescent="0.35">
      <c r="A4">
        <v>2017</v>
      </c>
      <c r="B4" t="s">
        <v>25</v>
      </c>
      <c r="C4" t="s">
        <v>8</v>
      </c>
      <c r="D4" s="11">
        <v>11</v>
      </c>
    </row>
    <row r="5" spans="1:4" x14ac:dyDescent="0.35">
      <c r="A5">
        <v>2008</v>
      </c>
      <c r="B5" t="s">
        <v>13</v>
      </c>
      <c r="C5" t="s">
        <v>8</v>
      </c>
      <c r="D5" s="11">
        <v>14</v>
      </c>
    </row>
    <row r="6" spans="1:4" x14ac:dyDescent="0.35">
      <c r="A6">
        <v>2001</v>
      </c>
      <c r="B6" t="s">
        <v>4</v>
      </c>
      <c r="C6" t="s">
        <v>5</v>
      </c>
      <c r="D6" s="11">
        <v>18</v>
      </c>
    </row>
    <row r="7" spans="1:4" x14ac:dyDescent="0.35">
      <c r="A7">
        <v>2016</v>
      </c>
      <c r="B7" t="s">
        <v>24</v>
      </c>
      <c r="C7" t="s">
        <v>5</v>
      </c>
      <c r="D7" s="11">
        <v>21</v>
      </c>
    </row>
    <row r="8" spans="1:4" x14ac:dyDescent="0.35">
      <c r="A8">
        <v>2005</v>
      </c>
      <c r="B8" t="s">
        <v>10</v>
      </c>
      <c r="C8" t="s">
        <v>8</v>
      </c>
      <c r="D8" s="11">
        <v>28</v>
      </c>
    </row>
    <row r="9" spans="1:4" x14ac:dyDescent="0.35">
      <c r="A9">
        <v>2011</v>
      </c>
      <c r="B9" t="s">
        <v>17</v>
      </c>
      <c r="C9" t="s">
        <v>18</v>
      </c>
      <c r="D9" s="11">
        <v>32</v>
      </c>
    </row>
    <row r="10" spans="1:4" x14ac:dyDescent="0.35">
      <c r="A10">
        <v>2004</v>
      </c>
      <c r="B10" t="s">
        <v>9</v>
      </c>
      <c r="C10" t="s">
        <v>5</v>
      </c>
      <c r="D10" s="11">
        <v>35</v>
      </c>
    </row>
    <row r="11" spans="1:4" x14ac:dyDescent="0.35">
      <c r="A11">
        <v>2014</v>
      </c>
      <c r="B11" t="s">
        <v>22</v>
      </c>
      <c r="C11" t="s">
        <v>8</v>
      </c>
      <c r="D11" s="11">
        <v>42</v>
      </c>
    </row>
    <row r="12" spans="1:4" x14ac:dyDescent="0.35">
      <c r="A12">
        <v>2006</v>
      </c>
      <c r="B12" t="s">
        <v>11</v>
      </c>
      <c r="C12" t="s">
        <v>5</v>
      </c>
      <c r="D12" s="11">
        <v>48</v>
      </c>
    </row>
    <row r="13" spans="1:4" x14ac:dyDescent="0.35">
      <c r="A13">
        <v>2010</v>
      </c>
      <c r="B13" t="s">
        <v>16</v>
      </c>
      <c r="C13" t="s">
        <v>15</v>
      </c>
      <c r="D13" s="11">
        <v>55</v>
      </c>
    </row>
    <row r="14" spans="1:4" x14ac:dyDescent="0.35">
      <c r="A14">
        <v>2015</v>
      </c>
      <c r="B14" t="s">
        <v>23</v>
      </c>
      <c r="C14" t="s">
        <v>5</v>
      </c>
      <c r="D14" s="11">
        <v>58</v>
      </c>
    </row>
    <row r="15" spans="1:4" x14ac:dyDescent="0.35">
      <c r="A15">
        <v>2002</v>
      </c>
      <c r="B15" t="s">
        <v>6</v>
      </c>
      <c r="C15" t="s">
        <v>5</v>
      </c>
      <c r="D15" s="11">
        <v>62</v>
      </c>
    </row>
    <row r="16" spans="1:4" x14ac:dyDescent="0.35">
      <c r="A16">
        <v>2020</v>
      </c>
      <c r="B16" t="s">
        <v>28</v>
      </c>
      <c r="C16" t="s">
        <v>29</v>
      </c>
      <c r="D16" s="11">
        <v>68</v>
      </c>
    </row>
    <row r="17" spans="1:4" x14ac:dyDescent="0.35">
      <c r="A17">
        <v>2007</v>
      </c>
      <c r="B17" t="s">
        <v>12</v>
      </c>
      <c r="C17" t="s">
        <v>5</v>
      </c>
      <c r="D17" s="11">
        <v>75</v>
      </c>
    </row>
    <row r="18" spans="1:4" x14ac:dyDescent="0.35">
      <c r="A18">
        <v>2018</v>
      </c>
      <c r="B18" t="s">
        <v>26</v>
      </c>
      <c r="C18" t="s">
        <v>5</v>
      </c>
      <c r="D18" s="11">
        <v>85</v>
      </c>
    </row>
    <row r="19" spans="1:4" x14ac:dyDescent="0.35">
      <c r="A19">
        <v>2009</v>
      </c>
      <c r="B19" t="s">
        <v>14</v>
      </c>
      <c r="C19" t="s">
        <v>15</v>
      </c>
      <c r="D19" s="11">
        <v>120</v>
      </c>
    </row>
    <row r="20" spans="1:4" x14ac:dyDescent="0.35">
      <c r="A20">
        <v>2012</v>
      </c>
      <c r="B20" t="s">
        <v>19</v>
      </c>
      <c r="C20" t="s">
        <v>18</v>
      </c>
      <c r="D20" s="11">
        <v>180</v>
      </c>
    </row>
    <row r="21" spans="1:4" x14ac:dyDescent="0.35">
      <c r="A21">
        <v>2019</v>
      </c>
      <c r="B21" t="s">
        <v>27</v>
      </c>
      <c r="C21" t="s">
        <v>5</v>
      </c>
      <c r="D21" s="11">
        <v>260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A0854-EAB8-427B-A9D8-E925832AA514}">
  <dimension ref="A2:C10"/>
  <sheetViews>
    <sheetView topLeftCell="A2" workbookViewId="0">
      <selection activeCell="A3" sqref="A3:C3"/>
    </sheetView>
  </sheetViews>
  <sheetFormatPr defaultRowHeight="14.5" x14ac:dyDescent="0.35"/>
  <cols>
    <col min="1" max="1" width="25" bestFit="1" customWidth="1"/>
    <col min="2" max="2" width="17.1796875" bestFit="1" customWidth="1"/>
    <col min="3" max="3" width="18" bestFit="1" customWidth="1"/>
  </cols>
  <sheetData>
    <row r="2" spans="1:3" ht="18.5" x14ac:dyDescent="0.45">
      <c r="A2" s="9" t="s">
        <v>56</v>
      </c>
    </row>
    <row r="3" spans="1:3" x14ac:dyDescent="0.35">
      <c r="A3" s="12" t="s">
        <v>32</v>
      </c>
      <c r="B3" s="5" t="s">
        <v>34</v>
      </c>
      <c r="C3" s="10" t="s">
        <v>31</v>
      </c>
    </row>
    <row r="4" spans="1:3" x14ac:dyDescent="0.35">
      <c r="A4" s="1" t="s">
        <v>8</v>
      </c>
      <c r="B4">
        <v>5</v>
      </c>
      <c r="C4" s="11">
        <v>20.8</v>
      </c>
    </row>
    <row r="5" spans="1:3" x14ac:dyDescent="0.35">
      <c r="A5" s="1" t="s">
        <v>5</v>
      </c>
      <c r="B5">
        <v>9</v>
      </c>
      <c r="C5" s="11">
        <v>73.555555555555557</v>
      </c>
    </row>
    <row r="6" spans="1:3" x14ac:dyDescent="0.35">
      <c r="A6" s="1" t="s">
        <v>29</v>
      </c>
      <c r="B6">
        <v>1</v>
      </c>
      <c r="C6" s="11">
        <v>68</v>
      </c>
    </row>
    <row r="7" spans="1:3" x14ac:dyDescent="0.35">
      <c r="A7" s="1" t="s">
        <v>18</v>
      </c>
      <c r="B7">
        <v>2</v>
      </c>
      <c r="C7" s="11">
        <v>106</v>
      </c>
    </row>
    <row r="8" spans="1:3" x14ac:dyDescent="0.35">
      <c r="A8" s="1" t="s">
        <v>21</v>
      </c>
      <c r="B8">
        <v>1</v>
      </c>
      <c r="C8" s="11">
        <v>7</v>
      </c>
    </row>
    <row r="9" spans="1:3" x14ac:dyDescent="0.35">
      <c r="A9" s="1" t="s">
        <v>15</v>
      </c>
      <c r="B9">
        <v>2</v>
      </c>
      <c r="C9" s="11">
        <v>87.5</v>
      </c>
    </row>
    <row r="10" spans="1:3" x14ac:dyDescent="0.35">
      <c r="A10" s="1" t="s">
        <v>33</v>
      </c>
      <c r="B10">
        <v>20</v>
      </c>
      <c r="C10" s="11">
        <v>61.4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64C91-DF47-46E1-A9E8-DB513559C948}">
  <dimension ref="A2:B24"/>
  <sheetViews>
    <sheetView topLeftCell="A3" workbookViewId="0">
      <selection activeCell="D12" sqref="D12"/>
    </sheetView>
  </sheetViews>
  <sheetFormatPr defaultRowHeight="14.5" x14ac:dyDescent="0.35"/>
  <cols>
    <col min="1" max="1" width="19.453125" bestFit="1" customWidth="1"/>
    <col min="2" max="2" width="14.81640625" bestFit="1" customWidth="1"/>
  </cols>
  <sheetData>
    <row r="2" spans="1:2" ht="18.5" x14ac:dyDescent="0.45">
      <c r="A2" s="9" t="s">
        <v>57</v>
      </c>
    </row>
    <row r="3" spans="1:2" x14ac:dyDescent="0.35">
      <c r="A3" s="12" t="s">
        <v>32</v>
      </c>
      <c r="B3" s="10" t="s">
        <v>30</v>
      </c>
    </row>
    <row r="4" spans="1:2" x14ac:dyDescent="0.35">
      <c r="A4" s="1" t="s">
        <v>27</v>
      </c>
      <c r="B4" s="11">
        <v>260</v>
      </c>
    </row>
    <row r="5" spans="1:2" x14ac:dyDescent="0.35">
      <c r="A5" s="1" t="s">
        <v>19</v>
      </c>
      <c r="B5" s="11">
        <v>180</v>
      </c>
    </row>
    <row r="6" spans="1:2" x14ac:dyDescent="0.35">
      <c r="A6" s="1" t="s">
        <v>14</v>
      </c>
      <c r="B6" s="11">
        <v>120</v>
      </c>
    </row>
    <row r="7" spans="1:2" x14ac:dyDescent="0.35">
      <c r="A7" s="1" t="s">
        <v>26</v>
      </c>
      <c r="B7" s="11">
        <v>85</v>
      </c>
    </row>
    <row r="8" spans="1:2" x14ac:dyDescent="0.35">
      <c r="A8" s="1" t="s">
        <v>12</v>
      </c>
      <c r="B8" s="11">
        <v>75</v>
      </c>
    </row>
    <row r="9" spans="1:2" x14ac:dyDescent="0.35">
      <c r="A9" s="1" t="s">
        <v>28</v>
      </c>
      <c r="B9" s="11">
        <v>68</v>
      </c>
    </row>
    <row r="10" spans="1:2" x14ac:dyDescent="0.35">
      <c r="A10" s="1" t="s">
        <v>6</v>
      </c>
      <c r="B10" s="11">
        <v>62</v>
      </c>
    </row>
    <row r="11" spans="1:2" x14ac:dyDescent="0.35">
      <c r="A11" s="1" t="s">
        <v>23</v>
      </c>
      <c r="B11" s="11">
        <v>58</v>
      </c>
    </row>
    <row r="12" spans="1:2" x14ac:dyDescent="0.35">
      <c r="A12" s="1" t="s">
        <v>16</v>
      </c>
      <c r="B12" s="11">
        <v>55</v>
      </c>
    </row>
    <row r="13" spans="1:2" x14ac:dyDescent="0.35">
      <c r="A13" s="1" t="s">
        <v>11</v>
      </c>
      <c r="B13" s="11">
        <v>48</v>
      </c>
    </row>
    <row r="14" spans="1:2" x14ac:dyDescent="0.35">
      <c r="A14" s="1" t="s">
        <v>22</v>
      </c>
      <c r="B14" s="11">
        <v>42</v>
      </c>
    </row>
    <row r="15" spans="1:2" x14ac:dyDescent="0.35">
      <c r="A15" s="1" t="s">
        <v>9</v>
      </c>
      <c r="B15" s="11">
        <v>35</v>
      </c>
    </row>
    <row r="16" spans="1:2" x14ac:dyDescent="0.35">
      <c r="A16" s="1" t="s">
        <v>17</v>
      </c>
      <c r="B16" s="11">
        <v>32</v>
      </c>
    </row>
    <row r="17" spans="1:2" x14ac:dyDescent="0.35">
      <c r="A17" s="1" t="s">
        <v>10</v>
      </c>
      <c r="B17" s="11">
        <v>28</v>
      </c>
    </row>
    <row r="18" spans="1:2" x14ac:dyDescent="0.35">
      <c r="A18" s="1" t="s">
        <v>24</v>
      </c>
      <c r="B18" s="11">
        <v>21</v>
      </c>
    </row>
    <row r="19" spans="1:2" x14ac:dyDescent="0.35">
      <c r="A19" s="1" t="s">
        <v>4</v>
      </c>
      <c r="B19" s="11">
        <v>18</v>
      </c>
    </row>
    <row r="20" spans="1:2" x14ac:dyDescent="0.35">
      <c r="A20" s="1" t="s">
        <v>13</v>
      </c>
      <c r="B20" s="11">
        <v>14</v>
      </c>
    </row>
    <row r="21" spans="1:2" x14ac:dyDescent="0.35">
      <c r="A21" s="1" t="s">
        <v>25</v>
      </c>
      <c r="B21" s="11">
        <v>11</v>
      </c>
    </row>
    <row r="22" spans="1:2" x14ac:dyDescent="0.35">
      <c r="A22" s="1" t="s">
        <v>7</v>
      </c>
      <c r="B22" s="11">
        <v>9</v>
      </c>
    </row>
    <row r="23" spans="1:2" x14ac:dyDescent="0.35">
      <c r="A23" s="1" t="s">
        <v>20</v>
      </c>
      <c r="B23" s="11">
        <v>7</v>
      </c>
    </row>
    <row r="24" spans="1:2" x14ac:dyDescent="0.35">
      <c r="A24" s="1" t="s">
        <v>33</v>
      </c>
      <c r="B24" s="11">
        <v>1228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87D18-612C-4265-BF09-77D3FC5CC91B}">
  <dimension ref="A2:B10"/>
  <sheetViews>
    <sheetView workbookViewId="0">
      <selection activeCell="F11" sqref="F11"/>
    </sheetView>
  </sheetViews>
  <sheetFormatPr defaultRowHeight="14.5" x14ac:dyDescent="0.35"/>
  <cols>
    <col min="1" max="1" width="20.6328125" bestFit="1" customWidth="1"/>
    <col min="2" max="2" width="14.81640625" bestFit="1" customWidth="1"/>
  </cols>
  <sheetData>
    <row r="2" spans="1:2" ht="18.5" x14ac:dyDescent="0.45">
      <c r="A2" s="9" t="s">
        <v>58</v>
      </c>
    </row>
    <row r="3" spans="1:2" x14ac:dyDescent="0.35">
      <c r="A3" s="12" t="s">
        <v>32</v>
      </c>
      <c r="B3" s="10" t="s">
        <v>30</v>
      </c>
    </row>
    <row r="4" spans="1:2" x14ac:dyDescent="0.35">
      <c r="A4" s="1" t="s">
        <v>8</v>
      </c>
      <c r="B4" s="11">
        <v>104</v>
      </c>
    </row>
    <row r="5" spans="1:2" x14ac:dyDescent="0.35">
      <c r="A5" s="1" t="s">
        <v>5</v>
      </c>
      <c r="B5" s="11">
        <v>662</v>
      </c>
    </row>
    <row r="6" spans="1:2" x14ac:dyDescent="0.35">
      <c r="A6" s="1" t="s">
        <v>29</v>
      </c>
      <c r="B6" s="11">
        <v>68</v>
      </c>
    </row>
    <row r="7" spans="1:2" x14ac:dyDescent="0.35">
      <c r="A7" s="1" t="s">
        <v>18</v>
      </c>
      <c r="B7" s="11">
        <v>212</v>
      </c>
    </row>
    <row r="8" spans="1:2" x14ac:dyDescent="0.35">
      <c r="A8" s="1" t="s">
        <v>21</v>
      </c>
      <c r="B8" s="11">
        <v>7</v>
      </c>
    </row>
    <row r="9" spans="1:2" x14ac:dyDescent="0.35">
      <c r="A9" s="1" t="s">
        <v>15</v>
      </c>
      <c r="B9" s="11">
        <v>175</v>
      </c>
    </row>
    <row r="10" spans="1:2" x14ac:dyDescent="0.35">
      <c r="A10" s="1" t="s">
        <v>33</v>
      </c>
      <c r="B10" s="11">
        <v>1228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5B28A-ADA3-4EA7-B289-13D938226EE4}">
  <dimension ref="A1:H28"/>
  <sheetViews>
    <sheetView tabSelected="1" topLeftCell="A20" zoomScale="102" zoomScaleNormal="102" workbookViewId="0">
      <selection activeCell="G28" sqref="G28"/>
    </sheetView>
  </sheetViews>
  <sheetFormatPr defaultRowHeight="14.5" x14ac:dyDescent="0.35"/>
  <cols>
    <col min="1" max="1" width="21.81640625" bestFit="1" customWidth="1"/>
    <col min="2" max="2" width="19.26953125" bestFit="1" customWidth="1"/>
    <col min="3" max="3" width="21.26953125" bestFit="1" customWidth="1"/>
    <col min="4" max="4" width="13.7265625" bestFit="1" customWidth="1"/>
  </cols>
  <sheetData>
    <row r="1" spans="1:8" ht="25" x14ac:dyDescent="0.5">
      <c r="A1" s="13" t="s">
        <v>35</v>
      </c>
      <c r="B1" s="13"/>
      <c r="C1" s="13"/>
      <c r="D1" s="13"/>
      <c r="E1" s="13"/>
      <c r="F1" s="13"/>
      <c r="G1" s="13"/>
      <c r="H1" s="13"/>
    </row>
    <row r="3" spans="1:8" x14ac:dyDescent="0.35">
      <c r="A3" s="14" t="s">
        <v>36</v>
      </c>
      <c r="B3" s="14"/>
      <c r="C3" s="14" t="s">
        <v>37</v>
      </c>
      <c r="D3" s="14"/>
    </row>
    <row r="4" spans="1:8" ht="18.5" x14ac:dyDescent="0.45">
      <c r="A4" s="2">
        <v>20</v>
      </c>
      <c r="B4" s="3"/>
      <c r="C4" s="2" t="s">
        <v>38</v>
      </c>
      <c r="D4" s="3"/>
    </row>
    <row r="5" spans="1:8" x14ac:dyDescent="0.35">
      <c r="A5" s="3"/>
      <c r="B5" s="3"/>
      <c r="C5" s="3"/>
      <c r="D5" s="3"/>
    </row>
    <row r="6" spans="1:8" x14ac:dyDescent="0.35">
      <c r="A6" s="14" t="s">
        <v>39</v>
      </c>
      <c r="B6" s="14"/>
      <c r="C6" s="14" t="s">
        <v>41</v>
      </c>
      <c r="D6" s="14"/>
    </row>
    <row r="7" spans="1:8" ht="18.5" x14ac:dyDescent="0.45">
      <c r="A7" s="2" t="s">
        <v>40</v>
      </c>
      <c r="B7" s="3"/>
      <c r="C7" s="2" t="s">
        <v>42</v>
      </c>
      <c r="D7" s="3"/>
    </row>
    <row r="8" spans="1:8" ht="18.5" x14ac:dyDescent="0.45">
      <c r="A8" s="6" t="s">
        <v>27</v>
      </c>
      <c r="B8" s="6"/>
      <c r="C8" s="6" t="s">
        <v>20</v>
      </c>
      <c r="D8" s="3"/>
    </row>
    <row r="9" spans="1:8" x14ac:dyDescent="0.35">
      <c r="A9" s="4" t="s">
        <v>45</v>
      </c>
      <c r="B9" s="4" t="s">
        <v>46</v>
      </c>
      <c r="C9" s="5" t="s">
        <v>47</v>
      </c>
    </row>
    <row r="10" spans="1:8" ht="18.5" x14ac:dyDescent="0.45">
      <c r="A10" s="7">
        <f>SUM('Cleaned Product Data'!D2:D22)</f>
        <v>1228</v>
      </c>
      <c r="B10" s="7">
        <v>6</v>
      </c>
      <c r="C10" s="8" t="str">
        <f>INDEX('Cleaned Product Data'!B2:B22,MATCH(MAX('Cleaned Product Data'!D2:D22),'Cleaned Product Data'!D2:D22,0))</f>
        <v>Tablet</v>
      </c>
    </row>
    <row r="11" spans="1:8" x14ac:dyDescent="0.35">
      <c r="A11" s="4" t="s">
        <v>48</v>
      </c>
      <c r="B11" s="4" t="s">
        <v>49</v>
      </c>
      <c r="C11" s="4" t="s">
        <v>50</v>
      </c>
    </row>
    <row r="12" spans="1:8" ht="18.5" x14ac:dyDescent="0.45">
      <c r="A12" s="6" t="str">
        <f>INDEX('Cleaned Product Data'!B2:B22,MATCH(MIN('Cleaned Product Data'!D2:D22),'Cleaned Product Data'!D2:D22,0))</f>
        <v>Notebook</v>
      </c>
      <c r="B12" s="6">
        <f>MAX('Cleaned Product Data'!D2:D22)</f>
        <v>260</v>
      </c>
      <c r="C12" s="6">
        <f>MIN('Cleaned Product Data'!D2:D22)</f>
        <v>7</v>
      </c>
    </row>
    <row r="14" spans="1:8" ht="18.5" x14ac:dyDescent="0.45">
      <c r="A14" s="9" t="s">
        <v>55</v>
      </c>
    </row>
    <row r="15" spans="1:8" x14ac:dyDescent="0.35">
      <c r="A15" s="4" t="s">
        <v>2</v>
      </c>
      <c r="B15" s="4" t="s">
        <v>43</v>
      </c>
      <c r="C15" s="4" t="s">
        <v>44</v>
      </c>
      <c r="D15" s="4" t="s">
        <v>45</v>
      </c>
    </row>
    <row r="16" spans="1:8" x14ac:dyDescent="0.35">
      <c r="A16" s="3" t="s">
        <v>8</v>
      </c>
      <c r="B16" s="3">
        <v>5</v>
      </c>
      <c r="C16" s="3">
        <v>20.8</v>
      </c>
      <c r="D16" s="3">
        <v>104</v>
      </c>
    </row>
    <row r="17" spans="1:4" x14ac:dyDescent="0.35">
      <c r="A17" s="3" t="s">
        <v>5</v>
      </c>
      <c r="B17" s="3">
        <v>9</v>
      </c>
      <c r="C17" s="3">
        <v>73.56</v>
      </c>
      <c r="D17" s="3">
        <v>662</v>
      </c>
    </row>
    <row r="18" spans="1:4" x14ac:dyDescent="0.35">
      <c r="A18" s="3" t="s">
        <v>29</v>
      </c>
      <c r="B18" s="3">
        <v>1</v>
      </c>
      <c r="C18" s="3">
        <v>68</v>
      </c>
      <c r="D18" s="3">
        <v>68</v>
      </c>
    </row>
    <row r="19" spans="1:4" x14ac:dyDescent="0.35">
      <c r="A19" s="3" t="s">
        <v>18</v>
      </c>
      <c r="B19" s="3">
        <v>2</v>
      </c>
      <c r="C19" s="3">
        <v>106</v>
      </c>
      <c r="D19" s="3">
        <v>212</v>
      </c>
    </row>
    <row r="20" spans="1:4" x14ac:dyDescent="0.35">
      <c r="A20" s="3" t="s">
        <v>21</v>
      </c>
      <c r="B20" s="3">
        <v>1</v>
      </c>
      <c r="C20" s="3">
        <v>7</v>
      </c>
      <c r="D20" s="3">
        <v>7</v>
      </c>
    </row>
    <row r="21" spans="1:4" x14ac:dyDescent="0.35">
      <c r="A21" s="3" t="s">
        <v>15</v>
      </c>
      <c r="B21" s="3">
        <v>2</v>
      </c>
      <c r="C21" s="3">
        <v>87.5</v>
      </c>
      <c r="D21" s="3">
        <v>175</v>
      </c>
    </row>
    <row r="22" spans="1:4" x14ac:dyDescent="0.35">
      <c r="A22" s="4" t="s">
        <v>33</v>
      </c>
      <c r="B22" s="4">
        <v>20</v>
      </c>
      <c r="C22" s="4">
        <v>61.4</v>
      </c>
      <c r="D22" s="4">
        <v>1228</v>
      </c>
    </row>
    <row r="24" spans="1:4" ht="18.5" x14ac:dyDescent="0.45">
      <c r="A24" s="9" t="s">
        <v>59</v>
      </c>
    </row>
    <row r="25" spans="1:4" x14ac:dyDescent="0.35">
      <c r="A25" t="s">
        <v>51</v>
      </c>
    </row>
    <row r="26" spans="1:4" x14ac:dyDescent="0.35">
      <c r="A26" t="s">
        <v>52</v>
      </c>
    </row>
    <row r="27" spans="1:4" x14ac:dyDescent="0.35">
      <c r="A27" t="s">
        <v>53</v>
      </c>
    </row>
    <row r="28" spans="1:4" x14ac:dyDescent="0.35">
      <c r="A28" t="s">
        <v>54</v>
      </c>
    </row>
  </sheetData>
  <mergeCells count="5">
    <mergeCell ref="A1:H1"/>
    <mergeCell ref="A3:B3"/>
    <mergeCell ref="C3:D3"/>
    <mergeCell ref="A6:B6"/>
    <mergeCell ref="C6:D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Product Data</vt:lpstr>
      <vt:lpstr>Cleaned Product Data</vt:lpstr>
      <vt:lpstr>Category Summary</vt:lpstr>
      <vt:lpstr>Product Prices</vt:lpstr>
      <vt:lpstr>Category Prices</vt:lpstr>
      <vt:lpstr>Product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Batman!!!</dc:creator>
  <cp:lastModifiedBy>ABDULAZEEZ MURITALA</cp:lastModifiedBy>
  <dcterms:created xsi:type="dcterms:W3CDTF">2026-09-05T20:06:37Z</dcterms:created>
  <dcterms:modified xsi:type="dcterms:W3CDTF">2026-09-15T11:52:09Z</dcterms:modified>
</cp:coreProperties>
</file>